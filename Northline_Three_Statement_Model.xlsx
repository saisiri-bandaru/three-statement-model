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IS" sheetId="2" state="visible" r:id="rId4"/>
    <sheet name="CF" sheetId="3" state="visible" r:id="rId5"/>
    <sheet name="BS" sheetId="4" state="visible" r:id="rId6"/>
    <sheet name="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<sst xmlns="http://schemas.openxmlformats.org/spreadsheetml/2006/main" count="73" uniqueCount="53">
  <si>
    <t xml:space="preserve">Northline — three-statement model (fictional, annual)</t>
  </si>
  <si>
    <t xml:space="preserve">Item</t>
  </si>
  <si>
    <t xml:space="preserve">Year 1</t>
  </si>
  <si>
    <t xml:space="preserve">Year 2</t>
  </si>
  <si>
    <t xml:space="preserve">Year 3</t>
  </si>
  <si>
    <t xml:space="preserve">Revenue</t>
  </si>
  <si>
    <t xml:space="preserve">COGS % of revenue</t>
  </si>
  <si>
    <t xml:space="preserve">OpEx (ex-D&amp;A)</t>
  </si>
  <si>
    <t xml:space="preserve">D&amp;A</t>
  </si>
  <si>
    <t xml:space="preserve">Interest</t>
  </si>
  <si>
    <t xml:space="preserve">Tax rate</t>
  </si>
  <si>
    <t xml:space="preserve">Capex</t>
  </si>
  <si>
    <t xml:space="preserve">Change in NWC (use of cash if +)</t>
  </si>
  <si>
    <t xml:space="preserve">Debt issued / (repaid)</t>
  </si>
  <si>
    <t xml:space="preserve">Dividends</t>
  </si>
  <si>
    <t xml:space="preserve">Opening cash</t>
  </si>
  <si>
    <t xml:space="preserve">Opening net PP&amp;E</t>
  </si>
  <si>
    <t xml:space="preserve">=</t>
  </si>
  <si>
    <t xml:space="preserve">Opening debt</t>
  </si>
  <si>
    <t xml:space="preserve">Opening equity</t>
  </si>
  <si>
    <t xml:space="preserve">Income statement</t>
  </si>
  <si>
    <t xml:space="preserve">Line</t>
  </si>
  <si>
    <t xml:space="preserve">COGS</t>
  </si>
  <si>
    <t xml:space="preserve">Gross profit</t>
  </si>
  <si>
    <t xml:space="preserve">EBIT</t>
  </si>
  <si>
    <t xml:space="preserve">EBT</t>
  </si>
  <si>
    <t xml:space="preserve">Tax</t>
  </si>
  <si>
    <t xml:space="preserve">Net income</t>
  </si>
  <si>
    <t xml:space="preserve">Cash flow</t>
  </si>
  <si>
    <t xml:space="preserve">+ D&amp;A</t>
  </si>
  <si>
    <t xml:space="preserve">− Increase in NWC</t>
  </si>
  <si>
    <t xml:space="preserve">CFO</t>
  </si>
  <si>
    <t xml:space="preserve">CFI</t>
  </si>
  <si>
    <t xml:space="preserve">Debt issued/(repaid)</t>
  </si>
  <si>
    <t xml:space="preserve">CFF</t>
  </si>
  <si>
    <t xml:space="preserve">Net change in cash</t>
  </si>
  <si>
    <t xml:space="preserve">Ending cash</t>
  </si>
  <si>
    <t xml:space="preserve">Balance sheet</t>
  </si>
  <si>
    <t xml:space="preserve">Cash</t>
  </si>
  <si>
    <t xml:space="preserve">Net working capital</t>
  </si>
  <si>
    <t xml:space="preserve">Net PP&amp;E</t>
  </si>
  <si>
    <t xml:space="preserve">Total assets</t>
  </si>
  <si>
    <t xml:space="preserve">Debt</t>
  </si>
  <si>
    <t xml:space="preserve">Equity</t>
  </si>
  <si>
    <t xml:space="preserve">Total liabilities &amp; equity</t>
  </si>
  <si>
    <t xml:space="preserve">Balance check (must be 0)</t>
  </si>
  <si>
    <t xml:space="preserve">How the statements link</t>
  </si>
  <si>
    <t xml:space="preserve">Net income flows to cash flow and to equity.</t>
  </si>
  <si>
    <t xml:space="preserve">D&amp;A is added back in cash flow and reduces net PP&amp;E.</t>
  </si>
  <si>
    <t xml:space="preserve">Capex increases PP&amp;E and is a use of cash.</t>
  </si>
  <si>
    <t xml:space="preserve">Debt issued / repaid hits cash and the debt line.</t>
  </si>
  <si>
    <t xml:space="preserve">Ending cash on CF is the cash line on the balance sheet.</t>
  </si>
  <si>
    <t xml:space="preserve">Balance check must stay 0. If it is not 0 after you edit inputs, a link broke.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</si>
</sst>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65D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B365D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333333"/>
      </patternFill>
    </fill>
    <fill>
      <patternFill patternType="solid">
        <fgColor rgb="FFFFF3BF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BF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4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4" t="n">
        <v>12000000</v>
      </c>
      <c r="C4" s="4" t="n">
        <v>13200000</v>
      </c>
      <c r="D4" s="4" t="n">
        <v>14520000</v>
      </c>
    </row>
    <row r="5" customFormat="false" ht="15" hidden="false" customHeight="false" outlineLevel="0" collapsed="false">
      <c r="A5" s="3" t="s">
        <v>6</v>
      </c>
      <c r="B5" s="5" t="n">
        <v>0.61</v>
      </c>
      <c r="C5" s="5" t="n">
        <v>0.605</v>
      </c>
      <c r="D5" s="5" t="n">
        <v>0.6</v>
      </c>
    </row>
    <row r="6" customFormat="false" ht="15" hidden="false" customHeight="false" outlineLevel="0" collapsed="false">
      <c r="A6" s="3" t="s">
        <v>7</v>
      </c>
      <c r="B6" s="4" t="n">
        <v>2800000</v>
      </c>
      <c r="C6" s="4" t="n">
        <v>2940000</v>
      </c>
      <c r="D6" s="4" t="n">
        <v>3080000</v>
      </c>
    </row>
    <row r="7" customFormat="false" ht="15" hidden="false" customHeight="false" outlineLevel="0" collapsed="false">
      <c r="A7" s="3" t="s">
        <v>8</v>
      </c>
      <c r="B7" s="4" t="n">
        <v>420000</v>
      </c>
      <c r="C7" s="4" t="n">
        <v>450000</v>
      </c>
      <c r="D7" s="4" t="n">
        <v>480000</v>
      </c>
    </row>
    <row r="8" customFormat="false" ht="15" hidden="false" customHeight="false" outlineLevel="0" collapsed="false">
      <c r="A8" s="3" t="s">
        <v>9</v>
      </c>
      <c r="B8" s="4" t="n">
        <v>180000</v>
      </c>
      <c r="C8" s="4" t="n">
        <v>165000</v>
      </c>
      <c r="D8" s="4" t="n">
        <v>150000</v>
      </c>
    </row>
    <row r="9" customFormat="false" ht="15" hidden="false" customHeight="false" outlineLevel="0" collapsed="false">
      <c r="A9" s="3" t="s">
        <v>10</v>
      </c>
      <c r="B9" s="5" t="n">
        <v>0.21</v>
      </c>
      <c r="C9" s="5" t="n">
        <v>0.21</v>
      </c>
      <c r="D9" s="5" t="n">
        <v>0.21</v>
      </c>
    </row>
    <row r="10" customFormat="false" ht="15" hidden="false" customHeight="false" outlineLevel="0" collapsed="false">
      <c r="A10" s="3" t="s">
        <v>11</v>
      </c>
      <c r="B10" s="4" t="n">
        <v>500000</v>
      </c>
      <c r="C10" s="4" t="n">
        <v>480000</v>
      </c>
      <c r="D10" s="4" t="n">
        <v>460000</v>
      </c>
    </row>
    <row r="11" customFormat="false" ht="15" hidden="false" customHeight="false" outlineLevel="0" collapsed="false">
      <c r="A11" s="3" t="s">
        <v>12</v>
      </c>
      <c r="B11" s="4" t="n">
        <v>150000</v>
      </c>
      <c r="C11" s="4" t="n">
        <v>120000</v>
      </c>
      <c r="D11" s="4" t="n">
        <v>90000</v>
      </c>
    </row>
    <row r="12" customFormat="false" ht="15" hidden="false" customHeight="false" outlineLevel="0" collapsed="false">
      <c r="A12" s="3" t="s">
        <v>13</v>
      </c>
      <c r="B12" s="4" t="n">
        <v>-200000</v>
      </c>
      <c r="C12" s="4" t="n">
        <v>-200000</v>
      </c>
      <c r="D12" s="4" t="n">
        <v>-200000</v>
      </c>
    </row>
    <row r="13" customFormat="false" ht="15" hidden="false" customHeight="false" outlineLevel="0" collapsed="false">
      <c r="A13" s="3" t="s">
        <v>14</v>
      </c>
      <c r="B13" s="4" t="n">
        <v>0</v>
      </c>
      <c r="C13" s="4" t="n">
        <v>0</v>
      </c>
      <c r="D13" s="4" t="n">
        <v>0</v>
      </c>
    </row>
    <row r="14" customFormat="false" ht="15" hidden="false" customHeight="false" outlineLevel="0" collapsed="false">
      <c r="A14" s="3" t="s">
        <v>15</v>
      </c>
      <c r="B14" s="4" t="n">
        <v>650000</v>
      </c>
      <c r="C14" s="6" t="n">
        <f aca="false">IS!C15</f>
        <v>0</v>
      </c>
      <c r="D14" s="6" t="n">
        <f aca="false">IS!D15</f>
        <v>0</v>
      </c>
    </row>
    <row r="15" customFormat="false" ht="15" hidden="false" customHeight="false" outlineLevel="0" collapsed="false">
      <c r="A15" s="3" t="s">
        <v>16</v>
      </c>
      <c r="B15" s="4" t="n">
        <v>3200000</v>
      </c>
      <c r="C15" s="6" t="s">
        <v>17</v>
      </c>
      <c r="D15" s="6" t="s">
        <v>17</v>
      </c>
    </row>
    <row r="16" customFormat="false" ht="15" hidden="false" customHeight="false" outlineLevel="0" collapsed="false">
      <c r="A16" s="3" t="s">
        <v>18</v>
      </c>
      <c r="B16" s="4" t="n">
        <v>1800000</v>
      </c>
      <c r="C16" s="7"/>
      <c r="D16" s="7"/>
    </row>
    <row r="17" customFormat="false" ht="15" hidden="false" customHeight="false" outlineLevel="0" collapsed="false">
      <c r="A17" s="3" t="s">
        <v>19</v>
      </c>
      <c r="B17" s="4" t="n">
        <v>2500000</v>
      </c>
      <c r="C17" s="7"/>
      <c r="D1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</cols>
  <sheetData>
    <row r="1" customFormat="false" ht="19.7" hidden="false" customHeight="false" outlineLevel="0" collapsed="false">
      <c r="A1" s="1" t="s">
        <v>20</v>
      </c>
    </row>
    <row r="3" customFormat="false" ht="15" hidden="false" customHeight="false" outlineLevel="0" collapsed="false">
      <c r="A3" s="2" t="s">
        <v>21</v>
      </c>
      <c r="B3" s="2" t="s">
        <v>2</v>
      </c>
      <c r="C3" s="2" t="s">
        <v>3</v>
      </c>
      <c r="D3" s="2" t="s">
        <v>4</v>
      </c>
    </row>
    <row r="4" customFormat="false" ht="23.85" hidden="false" customHeight="false" outlineLevel="0" collapsed="false">
      <c r="A4" s="3" t="s">
        <v>5</v>
      </c>
      <c r="B4" s="6" t="n">
        <f aca="false">Assumptions!B4</f>
        <v>12000000</v>
      </c>
      <c r="C4" s="6" t="n">
        <f aca="false">Assumptions!C4</f>
        <v>13200000</v>
      </c>
      <c r="D4" s="6" t="n">
        <f aca="false">Assumptions!D4</f>
        <v>14520000</v>
      </c>
    </row>
    <row r="5" customFormat="false" ht="23.85" hidden="false" customHeight="false" outlineLevel="0" collapsed="false">
      <c r="A5" s="3" t="s">
        <v>22</v>
      </c>
      <c r="B5" s="6" t="n">
        <f aca="false">B4*Assumptions!B5</f>
        <v>7320000</v>
      </c>
      <c r="C5" s="6" t="n">
        <f aca="false">C4*Assumptions!C5</f>
        <v>7986000</v>
      </c>
      <c r="D5" s="6" t="n">
        <f aca="false">D4*Assumptions!D5</f>
        <v>8712000</v>
      </c>
    </row>
    <row r="6" customFormat="false" ht="23.85" hidden="false" customHeight="false" outlineLevel="0" collapsed="false">
      <c r="A6" s="3" t="s">
        <v>23</v>
      </c>
      <c r="B6" s="6" t="n">
        <f aca="false">B4-B5</f>
        <v>4680000</v>
      </c>
      <c r="C6" s="6" t="n">
        <f aca="false">C4-C5</f>
        <v>5214000</v>
      </c>
      <c r="D6" s="6" t="n">
        <f aca="false">D4-D5</f>
        <v>5808000</v>
      </c>
    </row>
    <row r="7" customFormat="false" ht="23.85" hidden="false" customHeight="false" outlineLevel="0" collapsed="false">
      <c r="A7" s="3" t="s">
        <v>7</v>
      </c>
      <c r="B7" s="6" t="n">
        <f aca="false">Assumptions!B6</f>
        <v>2800000</v>
      </c>
      <c r="C7" s="6" t="n">
        <f aca="false">Assumptions!C6</f>
        <v>2940000</v>
      </c>
      <c r="D7" s="6" t="n">
        <f aca="false">Assumptions!D6</f>
        <v>3080000</v>
      </c>
    </row>
    <row r="8" customFormat="false" ht="15" hidden="false" customHeight="false" outlineLevel="0" collapsed="false">
      <c r="A8" s="3" t="s">
        <v>8</v>
      </c>
      <c r="B8" s="6" t="n">
        <f aca="false">Assumptions!B7</f>
        <v>420000</v>
      </c>
      <c r="C8" s="6" t="n">
        <f aca="false">Assumptions!C7</f>
        <v>450000</v>
      </c>
      <c r="D8" s="6" t="n">
        <f aca="false">Assumptions!D7</f>
        <v>480000</v>
      </c>
    </row>
    <row r="9" customFormat="false" ht="23.85" hidden="false" customHeight="false" outlineLevel="0" collapsed="false">
      <c r="A9" s="3" t="s">
        <v>24</v>
      </c>
      <c r="B9" s="6" t="n">
        <f aca="false">B6-B7-B8</f>
        <v>1460000</v>
      </c>
      <c r="C9" s="6" t="n">
        <f aca="false">C6-C7-C8</f>
        <v>1824000</v>
      </c>
      <c r="D9" s="6" t="n">
        <f aca="false">D6-D7-D8</f>
        <v>2248000</v>
      </c>
    </row>
    <row r="10" customFormat="false" ht="15" hidden="false" customHeight="false" outlineLevel="0" collapsed="false">
      <c r="A10" s="3" t="s">
        <v>9</v>
      </c>
      <c r="B10" s="6" t="n">
        <f aca="false">Assumptions!B8</f>
        <v>180000</v>
      </c>
      <c r="C10" s="6" t="n">
        <f aca="false">Assumptions!C8</f>
        <v>165000</v>
      </c>
      <c r="D10" s="6" t="n">
        <f aca="false">Assumptions!D8</f>
        <v>150000</v>
      </c>
    </row>
    <row r="11" customFormat="false" ht="23.85" hidden="false" customHeight="false" outlineLevel="0" collapsed="false">
      <c r="A11" s="3" t="s">
        <v>25</v>
      </c>
      <c r="B11" s="6" t="n">
        <f aca="false">B9-B10</f>
        <v>1280000</v>
      </c>
      <c r="C11" s="6" t="n">
        <f aca="false">C9-C10</f>
        <v>1659000</v>
      </c>
      <c r="D11" s="6" t="n">
        <f aca="false">D9-D10</f>
        <v>2098000</v>
      </c>
    </row>
    <row r="12" customFormat="false" ht="15" hidden="false" customHeight="false" outlineLevel="0" collapsed="false">
      <c r="A12" s="3" t="s">
        <v>26</v>
      </c>
      <c r="B12" s="6" t="n">
        <f aca="false">B11*Assumptions!B9</f>
        <v>268800</v>
      </c>
      <c r="C12" s="6" t="n">
        <f aca="false">C11*Assumptions!C9</f>
        <v>348390</v>
      </c>
      <c r="D12" s="6" t="n">
        <f aca="false">D11*Assumptions!D9</f>
        <v>440580</v>
      </c>
    </row>
    <row r="13" customFormat="false" ht="23.85" hidden="false" customHeight="false" outlineLevel="0" collapsed="false">
      <c r="A13" s="3" t="s">
        <v>27</v>
      </c>
      <c r="B13" s="6" t="n">
        <f aca="false">B11-B12</f>
        <v>1011200</v>
      </c>
      <c r="C13" s="6" t="n">
        <f aca="false">C11-C12</f>
        <v>1310610</v>
      </c>
      <c r="D13" s="6" t="n">
        <f aca="false">D11-D12</f>
        <v>1657420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19.7" hidden="false" customHeight="false" outlineLevel="0" collapsed="false">
      <c r="A1" s="1" t="s">
        <v>28</v>
      </c>
    </row>
    <row r="3" customFormat="false" ht="15" hidden="false" customHeight="false" outlineLevel="0" collapsed="false">
      <c r="A3" s="2" t="s">
        <v>21</v>
      </c>
      <c r="B3" s="2" t="s">
        <v>2</v>
      </c>
      <c r="C3" s="2" t="s">
        <v>3</v>
      </c>
      <c r="D3" s="2" t="s">
        <v>4</v>
      </c>
    </row>
    <row r="4" customFormat="false" ht="23.85" hidden="false" customHeight="false" outlineLevel="0" collapsed="false">
      <c r="A4" s="3" t="s">
        <v>27</v>
      </c>
      <c r="B4" s="6" t="n">
        <f aca="false">IS!B13</f>
        <v>1011200</v>
      </c>
      <c r="C4" s="6" t="n">
        <f aca="false">IS!C13</f>
        <v>1310610</v>
      </c>
      <c r="D4" s="6" t="n">
        <f aca="false">IS!D13</f>
        <v>1657420</v>
      </c>
    </row>
    <row r="5" customFormat="false" ht="15" hidden="false" customHeight="false" outlineLevel="0" collapsed="false">
      <c r="A5" s="3" t="s">
        <v>29</v>
      </c>
      <c r="B5" s="6" t="n">
        <f aca="false">IS!B8</f>
        <v>420000</v>
      </c>
      <c r="C5" s="6" t="n">
        <f aca="false">IS!C8</f>
        <v>450000</v>
      </c>
      <c r="D5" s="6" t="n">
        <f aca="false">IS!D8</f>
        <v>480000</v>
      </c>
    </row>
    <row r="6" customFormat="false" ht="15" hidden="false" customHeight="false" outlineLevel="0" collapsed="false">
      <c r="A6" s="3" t="s">
        <v>30</v>
      </c>
      <c r="B6" s="6" t="n">
        <f aca="false">-Assumptions!B11</f>
        <v>-150000</v>
      </c>
      <c r="C6" s="6" t="n">
        <f aca="false">-Assumptions!C11</f>
        <v>-120000</v>
      </c>
      <c r="D6" s="6" t="n">
        <f aca="false">-Assumptions!D11</f>
        <v>-90000</v>
      </c>
    </row>
    <row r="7" customFormat="false" ht="23.85" hidden="false" customHeight="false" outlineLevel="0" collapsed="false">
      <c r="A7" s="3" t="s">
        <v>31</v>
      </c>
      <c r="B7" s="6" t="n">
        <f aca="false">B4+B5+B6</f>
        <v>1281200</v>
      </c>
      <c r="C7" s="6" t="n">
        <f aca="false">C4+C5+C6</f>
        <v>1640610</v>
      </c>
      <c r="D7" s="6" t="n">
        <f aca="false">D4+D5+D6</f>
        <v>2047420</v>
      </c>
    </row>
    <row r="8" customFormat="false" ht="15" hidden="false" customHeight="false" outlineLevel="0" collapsed="false">
      <c r="A8" s="3" t="s">
        <v>11</v>
      </c>
      <c r="B8" s="6" t="n">
        <f aca="false">-Assumptions!B10</f>
        <v>-500000</v>
      </c>
      <c r="C8" s="6" t="n">
        <f aca="false">-Assumptions!C10</f>
        <v>-480000</v>
      </c>
      <c r="D8" s="6" t="n">
        <f aca="false">-Assumptions!D10</f>
        <v>-460000</v>
      </c>
    </row>
    <row r="9" customFormat="false" ht="15" hidden="false" customHeight="false" outlineLevel="0" collapsed="false">
      <c r="A9" s="3" t="s">
        <v>32</v>
      </c>
      <c r="B9" s="6" t="n">
        <f aca="false">B8</f>
        <v>-500000</v>
      </c>
      <c r="C9" s="6" t="n">
        <f aca="false">C8</f>
        <v>-480000</v>
      </c>
      <c r="D9" s="6" t="n">
        <f aca="false">D8</f>
        <v>-460000</v>
      </c>
    </row>
    <row r="10" customFormat="false" ht="15" hidden="false" customHeight="false" outlineLevel="0" collapsed="false">
      <c r="A10" s="3" t="s">
        <v>33</v>
      </c>
      <c r="B10" s="6" t="n">
        <f aca="false">Assumptions!B12</f>
        <v>-200000</v>
      </c>
      <c r="C10" s="6" t="n">
        <f aca="false">Assumptions!C12</f>
        <v>-200000</v>
      </c>
      <c r="D10" s="6" t="n">
        <f aca="false">Assumptions!D12</f>
        <v>-200000</v>
      </c>
    </row>
    <row r="11" customFormat="false" ht="15" hidden="false" customHeight="false" outlineLevel="0" collapsed="false">
      <c r="A11" s="3" t="s">
        <v>14</v>
      </c>
      <c r="B11" s="6" t="n">
        <f aca="false">-Assumptions!B13</f>
        <v>-0</v>
      </c>
      <c r="C11" s="6" t="n">
        <f aca="false">-Assumptions!C13</f>
        <v>-0</v>
      </c>
      <c r="D11" s="6" t="n">
        <f aca="false">-Assumptions!D13</f>
        <v>-0</v>
      </c>
    </row>
    <row r="12" customFormat="false" ht="15" hidden="false" customHeight="false" outlineLevel="0" collapsed="false">
      <c r="A12" s="3" t="s">
        <v>34</v>
      </c>
      <c r="B12" s="6" t="n">
        <f aca="false">B10+B11</f>
        <v>-200000</v>
      </c>
      <c r="C12" s="6" t="n">
        <f aca="false">C10+C11</f>
        <v>-200000</v>
      </c>
      <c r="D12" s="6" t="n">
        <f aca="false">D10+D11</f>
        <v>-200000</v>
      </c>
    </row>
    <row r="13" customFormat="false" ht="23.85" hidden="false" customHeight="false" outlineLevel="0" collapsed="false">
      <c r="A13" s="3" t="s">
        <v>35</v>
      </c>
      <c r="B13" s="6" t="n">
        <f aca="false">B7+B9+B12</f>
        <v>581200</v>
      </c>
      <c r="C13" s="6" t="n">
        <f aca="false">C7+C9+C12</f>
        <v>960610</v>
      </c>
      <c r="D13" s="6" t="n">
        <f aca="false">D7+D9+D12</f>
        <v>1387420</v>
      </c>
    </row>
    <row r="14" customFormat="false" ht="23.85" hidden="false" customHeight="false" outlineLevel="0" collapsed="false">
      <c r="A14" s="3" t="s">
        <v>15</v>
      </c>
      <c r="B14" s="6" t="n">
        <f aca="false">Assumptions!B14</f>
        <v>650000</v>
      </c>
      <c r="C14" s="6" t="n">
        <f aca="false">B15</f>
        <v>1231200</v>
      </c>
      <c r="D14" s="6" t="n">
        <f aca="false">C15</f>
        <v>2191810</v>
      </c>
    </row>
    <row r="15" customFormat="false" ht="23.85" hidden="false" customHeight="false" outlineLevel="0" collapsed="false">
      <c r="A15" s="3" t="s">
        <v>36</v>
      </c>
      <c r="B15" s="6" t="n">
        <f aca="false">B14+B13</f>
        <v>1231200</v>
      </c>
      <c r="C15" s="6" t="n">
        <f aca="false">C14+C13</f>
        <v>2191810</v>
      </c>
      <c r="D15" s="6" t="n">
        <f aca="false">D14+D13</f>
        <v>3579230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</cols>
  <sheetData>
    <row r="1" customFormat="false" ht="19.7" hidden="false" customHeight="false" outlineLevel="0" collapsed="false">
      <c r="A1" s="1" t="s">
        <v>37</v>
      </c>
    </row>
    <row r="3" customFormat="false" ht="15" hidden="false" customHeight="false" outlineLevel="0" collapsed="false">
      <c r="A3" s="2" t="s">
        <v>21</v>
      </c>
      <c r="B3" s="2" t="s">
        <v>2</v>
      </c>
      <c r="C3" s="2" t="s">
        <v>3</v>
      </c>
      <c r="D3" s="2" t="s">
        <v>4</v>
      </c>
    </row>
    <row r="4" customFormat="false" ht="23.85" hidden="false" customHeight="false" outlineLevel="0" collapsed="false">
      <c r="A4" s="3" t="s">
        <v>38</v>
      </c>
      <c r="B4" s="6" t="n">
        <f aca="false">CF!B15</f>
        <v>1231200</v>
      </c>
      <c r="C4" s="6" t="n">
        <f aca="false">CF!C15</f>
        <v>2191810</v>
      </c>
      <c r="D4" s="6" t="n">
        <f aca="false">CF!D15</f>
        <v>3579230</v>
      </c>
    </row>
    <row r="5" customFormat="false" ht="23.85" hidden="false" customHeight="false" outlineLevel="0" collapsed="false">
      <c r="A5" s="3" t="s">
        <v>39</v>
      </c>
      <c r="B5" s="6" t="n">
        <f aca="false">900000+Assumptions!B11</f>
        <v>1050000</v>
      </c>
      <c r="C5" s="6" t="n">
        <f aca="false">B5+Assumptions!C11</f>
        <v>1170000</v>
      </c>
      <c r="D5" s="6" t="n">
        <f aca="false">C5+Assumptions!D11</f>
        <v>1260000</v>
      </c>
    </row>
    <row r="6" customFormat="false" ht="23.85" hidden="false" customHeight="false" outlineLevel="0" collapsed="false">
      <c r="A6" s="3" t="s">
        <v>40</v>
      </c>
      <c r="B6" s="6" t="n">
        <f aca="false">Assumptions!B15+Assumptions!B10-IS!B8</f>
        <v>3280000</v>
      </c>
      <c r="C6" s="6" t="n">
        <f aca="false">B6+Assumptions!C10-IS!C8</f>
        <v>3310000</v>
      </c>
      <c r="D6" s="6" t="n">
        <f aca="false">C6+Assumptions!D10-IS!D8</f>
        <v>3290000</v>
      </c>
    </row>
    <row r="7" customFormat="false" ht="23.85" hidden="false" customHeight="false" outlineLevel="0" collapsed="false">
      <c r="A7" s="3" t="s">
        <v>41</v>
      </c>
      <c r="B7" s="6" t="n">
        <f aca="false">B4+B5+B6</f>
        <v>5561200</v>
      </c>
      <c r="C7" s="6" t="n">
        <f aca="false">C4+C5+C6</f>
        <v>6671810</v>
      </c>
      <c r="D7" s="6" t="n">
        <f aca="false">D4+D5+D6</f>
        <v>8129230</v>
      </c>
    </row>
    <row r="9" customFormat="false" ht="23.85" hidden="false" customHeight="false" outlineLevel="0" collapsed="false">
      <c r="A9" s="3" t="s">
        <v>42</v>
      </c>
      <c r="B9" s="6" t="n">
        <f aca="false">Assumptions!B16+Assumptions!B12</f>
        <v>1600000</v>
      </c>
      <c r="C9" s="6" t="n">
        <f aca="false">B9+Assumptions!C12</f>
        <v>1400000</v>
      </c>
      <c r="D9" s="6" t="n">
        <f aca="false">C9+Assumptions!D12</f>
        <v>1200000</v>
      </c>
    </row>
    <row r="10" customFormat="false" ht="23.85" hidden="false" customHeight="false" outlineLevel="0" collapsed="false">
      <c r="A10" s="3" t="s">
        <v>43</v>
      </c>
      <c r="B10" s="6" t="n">
        <f aca="false">Assumptions!B17+IS!B13-Assumptions!B13</f>
        <v>3511200</v>
      </c>
      <c r="C10" s="6" t="n">
        <f aca="false">B10+IS!C13-Assumptions!C13</f>
        <v>4821810</v>
      </c>
      <c r="D10" s="6" t="n">
        <f aca="false">C10+IS!D13-Assumptions!D13</f>
        <v>6479230</v>
      </c>
    </row>
    <row r="11" customFormat="false" ht="23.85" hidden="false" customHeight="false" outlineLevel="0" collapsed="false">
      <c r="A11" s="3" t="s">
        <v>44</v>
      </c>
      <c r="B11" s="6" t="n">
        <f aca="false">B9+B10</f>
        <v>5111200</v>
      </c>
      <c r="C11" s="6" t="n">
        <f aca="false">C9+C10</f>
        <v>6221810</v>
      </c>
      <c r="D11" s="6" t="n">
        <f aca="false">D9+D10</f>
        <v>7679230</v>
      </c>
    </row>
    <row r="13" customFormat="false" ht="15" hidden="false" customHeight="false" outlineLevel="0" collapsed="false">
      <c r="A13" s="3" t="s">
        <v>45</v>
      </c>
      <c r="B13" s="6" t="n">
        <f aca="false">B7-B11</f>
        <v>450000</v>
      </c>
      <c r="C13" s="6" t="n">
        <f aca="false">C7-C11</f>
        <v>450000</v>
      </c>
      <c r="D13" s="6" t="n">
        <f aca="false">D7-D11</f>
        <v>450000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7" hidden="false" customHeight="false" outlineLevel="0" collapsed="false">
      <c r="A1" s="1" t="s">
        <v>46</v>
      </c>
    </row>
    <row r="3" customFormat="false" ht="15" hidden="false" customHeight="false" outlineLevel="0" collapsed="false">
      <c r="A3" s="0" t="s">
        <v>47</v>
      </c>
    </row>
    <row r="4" customFormat="false" ht="15" hidden="false" customHeight="false" outlineLevel="0" collapsed="false">
      <c r="A4" s="0" t="s">
        <v>48</v>
      </c>
    </row>
    <row r="5" customFormat="false" ht="15" hidden="false" customHeight="false" outlineLevel="0" collapsed="false">
      <c r="A5" s="0" t="s">
        <v>49</v>
      </c>
    </row>
    <row r="6" customFormat="false" ht="15" hidden="false" customHeight="false" outlineLevel="0" collapsed="false">
      <c r="A6" s="0" t="s">
        <v>50</v>
      </c>
    </row>
    <row r="7" customFormat="false" ht="15" hidden="false" customHeight="false" outlineLevel="0" collapsed="false">
      <c r="A7" s="0" t="s">
        <v>51</v>
      </c>
    </row>
    <row r="8" customFormat="false" ht="15" hidden="false" customHeight="false" outlineLevel="0" collapsed="false">
      <c r="A8" s="0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2026-08-27T13:48:46Z</dcterms:created>
  <dc:creator>openpyxl</dc:creator>
  <dc:description/>
  <dc:language>en-US</dc:language>
  <cp:lastModifiedBy/>
  <dcterms:modified xsi:type="dcterms:W3CDTF">2026-08-27T13:48:46Z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